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\Downloads\"/>
    </mc:Choice>
  </mc:AlternateContent>
  <xr:revisionPtr revIDLastSave="0" documentId="8_{06AF22C1-2F03-4029-9A21-EA5BADF6D5FB}" xr6:coauthVersionLast="47" xr6:coauthVersionMax="47" xr10:uidLastSave="{00000000-0000-0000-0000-000000000000}"/>
  <bookViews>
    <workbookView xWindow="7992" yWindow="2136" windowWidth="13824" windowHeight="8880" xr2:uid="{AF902C01-EC1E-4125-A07C-9B967CE8B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1" l="1"/>
  <c r="D30" i="1" s="1"/>
  <c r="C30" i="1" s="1"/>
  <c r="G31" i="1"/>
  <c r="F31" i="1" s="1"/>
  <c r="E31" i="1" s="1"/>
  <c r="D31" i="1" s="1"/>
  <c r="C31" i="1" s="1"/>
  <c r="G32" i="1"/>
  <c r="F32" i="1" s="1"/>
  <c r="E32" i="1" s="1"/>
  <c r="D32" i="1" s="1"/>
  <c r="C32" i="1" s="1"/>
  <c r="G33" i="1"/>
  <c r="F33" i="1" s="1"/>
  <c r="E33" i="1" s="1"/>
  <c r="D33" i="1" s="1"/>
  <c r="C33" i="1" s="1"/>
  <c r="J29" i="1"/>
  <c r="J28" i="1"/>
  <c r="J27" i="1"/>
  <c r="F27" i="1" s="1"/>
  <c r="E27" i="1" s="1"/>
  <c r="D27" i="1" s="1"/>
  <c r="C27" i="1" s="1"/>
  <c r="F28" i="1"/>
  <c r="E28" i="1" s="1"/>
  <c r="D28" i="1" s="1"/>
  <c r="C28" i="1" s="1"/>
  <c r="F29" i="1"/>
  <c r="E29" i="1" s="1"/>
  <c r="D29" i="1" s="1"/>
  <c r="C29" i="1" s="1"/>
  <c r="D26" i="1"/>
  <c r="C26" i="1" s="1"/>
  <c r="C24" i="1"/>
  <c r="C25" i="1"/>
  <c r="C23" i="1"/>
  <c r="E24" i="1"/>
  <c r="E25" i="1"/>
  <c r="C22" i="1"/>
  <c r="J25" i="1"/>
  <c r="J24" i="1"/>
  <c r="J23" i="1"/>
  <c r="C19" i="1"/>
  <c r="C20" i="1"/>
  <c r="C21" i="1"/>
  <c r="C18" i="1"/>
  <c r="I19" i="1"/>
  <c r="I20" i="1"/>
  <c r="I21" i="1"/>
  <c r="J21" i="1"/>
  <c r="J20" i="1"/>
  <c r="J19" i="1"/>
  <c r="C14" i="1"/>
  <c r="C15" i="1"/>
  <c r="C16" i="1"/>
  <c r="C17" i="1"/>
  <c r="I15" i="1"/>
  <c r="I16" i="1"/>
  <c r="I17" i="1"/>
  <c r="J17" i="1"/>
  <c r="J16" i="1"/>
  <c r="J15" i="1"/>
  <c r="C11" i="1"/>
  <c r="C12" i="1"/>
  <c r="C13" i="1"/>
  <c r="F11" i="1"/>
  <c r="G11" i="1"/>
  <c r="H11" i="1"/>
  <c r="I11" i="1"/>
  <c r="F12" i="1"/>
  <c r="G12" i="1"/>
  <c r="H12" i="1"/>
  <c r="I12" i="1"/>
  <c r="F13" i="1"/>
  <c r="G13" i="1"/>
  <c r="H13" i="1"/>
  <c r="I13" i="1"/>
  <c r="J13" i="1"/>
  <c r="J12" i="1"/>
  <c r="J11" i="1"/>
  <c r="C10" i="1"/>
  <c r="E9" i="1"/>
  <c r="F9" i="1"/>
  <c r="G9" i="1"/>
  <c r="H9" i="1"/>
  <c r="I9" i="1"/>
  <c r="J9" i="1"/>
  <c r="C9" i="1" s="1"/>
  <c r="C8" i="1"/>
  <c r="E8" i="1"/>
  <c r="F8" i="1"/>
  <c r="G8" i="1"/>
  <c r="H8" i="1"/>
  <c r="I8" i="1"/>
  <c r="J8" i="1"/>
  <c r="C7" i="1"/>
  <c r="C6" i="1"/>
  <c r="E7" i="1"/>
  <c r="F7" i="1"/>
  <c r="G7" i="1"/>
  <c r="H7" i="1"/>
  <c r="I7" i="1"/>
  <c r="J7" i="1"/>
  <c r="C5" i="1"/>
  <c r="E5" i="1"/>
  <c r="F5" i="1"/>
  <c r="G5" i="1"/>
  <c r="H5" i="1"/>
  <c r="I5" i="1"/>
  <c r="J5" i="1"/>
  <c r="C4" i="1"/>
  <c r="E4" i="1"/>
  <c r="F4" i="1"/>
  <c r="G4" i="1"/>
  <c r="H4" i="1"/>
  <c r="I4" i="1"/>
  <c r="J4" i="1"/>
  <c r="C3" i="1"/>
  <c r="E3" i="1"/>
  <c r="F3" i="1"/>
  <c r="G3" i="1"/>
  <c r="H3" i="1"/>
  <c r="I3" i="1"/>
  <c r="J3" i="1"/>
</calcChain>
</file>

<file path=xl/sharedStrings.xml><?xml version="1.0" encoding="utf-8"?>
<sst xmlns="http://schemas.openxmlformats.org/spreadsheetml/2006/main" count="50" uniqueCount="14">
  <si>
    <t>Monster Rarity</t>
  </si>
  <si>
    <t>Monster Tier</t>
  </si>
  <si>
    <t>T0</t>
  </si>
  <si>
    <t>Common</t>
  </si>
  <si>
    <t>Uncommon</t>
  </si>
  <si>
    <t>Rare</t>
  </si>
  <si>
    <t>Epic</t>
  </si>
  <si>
    <t>Elite</t>
  </si>
  <si>
    <t>Legendary</t>
  </si>
  <si>
    <t>Superior</t>
  </si>
  <si>
    <t>Cosmic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</si>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</sst>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E01B-83F7-43DD-BBE3-7BAB1351AAA2}">
  <dimension ref="A1:J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4" sqref="L4"/>
    </sheetView>
  </sheetViews>
  <sheetFormatPr defaultRowHeight="14.4" x14ac:dyDescent="0.3"/>
  <cols>
    <col min="1" max="1" width="12.44140625" style="1" bestFit="1" customWidth="1"/>
    <col min="2" max="2" width="10.88671875" style="1" bestFit="1" customWidth="1"/>
    <col min="3" max="16384" width="8.88671875" style="1"/>
  </cols>
  <sheetData>
    <row r="1" spans="1:10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s="2" t="s">
        <v>3</v>
      </c>
      <c r="B2" s="1" t="s">
        <v>2</v>
      </c>
      <c r="C2" s="1">
        <v>64.39</v>
      </c>
      <c r="D2" s="1">
        <v>21</v>
      </c>
      <c r="E2" s="1">
        <v>10</v>
      </c>
      <c r="F2" s="1">
        <v>3</v>
      </c>
      <c r="G2" s="1">
        <v>1</v>
      </c>
      <c r="H2" s="1">
        <v>0.4</v>
      </c>
      <c r="I2" s="1">
        <v>0.2</v>
      </c>
      <c r="J2" s="1">
        <v>0.1</v>
      </c>
    </row>
    <row r="3" spans="1:10" x14ac:dyDescent="0.3">
      <c r="A3" s="2"/>
      <c r="B3" s="1" t="s">
        <v>11</v>
      </c>
      <c r="C3" s="1">
        <f>100-SUM(D3:J3)</f>
        <v>60.36</v>
      </c>
      <c r="D3" s="1">
        <v>22</v>
      </c>
      <c r="E3" s="1">
        <f t="shared" ref="D3:I3" si="0">E2*1.2</f>
        <v>12</v>
      </c>
      <c r="F3" s="1">
        <f t="shared" si="0"/>
        <v>3.5999999999999996</v>
      </c>
      <c r="G3" s="1">
        <f t="shared" si="0"/>
        <v>1.2</v>
      </c>
      <c r="H3" s="1">
        <f t="shared" si="0"/>
        <v>0.48</v>
      </c>
      <c r="I3" s="1">
        <f t="shared" si="0"/>
        <v>0.24</v>
      </c>
      <c r="J3" s="1">
        <f>J2*1.2</f>
        <v>0.12</v>
      </c>
    </row>
    <row r="4" spans="1:10" x14ac:dyDescent="0.3">
      <c r="A4" s="2"/>
      <c r="B4" s="1" t="s">
        <v>12</v>
      </c>
      <c r="C4" s="1">
        <f>100-SUM(D4:J4)</f>
        <v>56.419999999999995</v>
      </c>
      <c r="D4" s="1">
        <v>23</v>
      </c>
      <c r="E4" s="1">
        <f t="shared" ref="D4:I4" si="1">E2*1.4</f>
        <v>14</v>
      </c>
      <c r="F4" s="1">
        <f t="shared" si="1"/>
        <v>4.1999999999999993</v>
      </c>
      <c r="G4" s="1">
        <f t="shared" si="1"/>
        <v>1.4</v>
      </c>
      <c r="H4" s="1">
        <f t="shared" si="1"/>
        <v>0.55999999999999994</v>
      </c>
      <c r="I4" s="1">
        <f t="shared" si="1"/>
        <v>0.27999999999999997</v>
      </c>
      <c r="J4" s="1">
        <f>J2*1.4</f>
        <v>0.13999999999999999</v>
      </c>
    </row>
    <row r="5" spans="1:10" x14ac:dyDescent="0.3">
      <c r="A5" s="2"/>
      <c r="B5" s="1" t="s">
        <v>13</v>
      </c>
      <c r="C5" s="1">
        <f>100-SUM(D5:J5)</f>
        <v>52.480000000000004</v>
      </c>
      <c r="D5" s="1">
        <v>24</v>
      </c>
      <c r="E5" s="1">
        <f t="shared" ref="D5:I5" si="2">E2*1.6</f>
        <v>16</v>
      </c>
      <c r="F5" s="1">
        <f t="shared" si="2"/>
        <v>4.8000000000000007</v>
      </c>
      <c r="G5" s="1">
        <f t="shared" si="2"/>
        <v>1.6</v>
      </c>
      <c r="H5" s="1">
        <f t="shared" si="2"/>
        <v>0.64000000000000012</v>
      </c>
      <c r="I5" s="1">
        <f t="shared" si="2"/>
        <v>0.32000000000000006</v>
      </c>
      <c r="J5" s="1">
        <f>J2*1.6</f>
        <v>0.16000000000000003</v>
      </c>
    </row>
    <row r="6" spans="1:10" x14ac:dyDescent="0.3">
      <c r="A6" s="2" t="s">
        <v>4</v>
      </c>
      <c r="B6" s="1" t="s">
        <v>2</v>
      </c>
      <c r="C6" s="1">
        <f>100-SUM(D6:J6)</f>
        <v>42.279999999999994</v>
      </c>
      <c r="D6" s="1">
        <v>28</v>
      </c>
      <c r="E6" s="1">
        <v>16</v>
      </c>
      <c r="F6" s="1">
        <v>8</v>
      </c>
      <c r="G6" s="1">
        <v>3.5</v>
      </c>
      <c r="H6" s="1">
        <v>1.5</v>
      </c>
      <c r="I6" s="1">
        <v>0.7</v>
      </c>
      <c r="J6" s="1">
        <v>0.02</v>
      </c>
    </row>
    <row r="7" spans="1:10" x14ac:dyDescent="0.3">
      <c r="A7" s="2"/>
      <c r="B7" s="1" t="s">
        <v>11</v>
      </c>
      <c r="C7" s="1">
        <f>100-SUM(D7:J7)</f>
        <v>34.335999999999984</v>
      </c>
      <c r="D7" s="1">
        <v>30</v>
      </c>
      <c r="E7" s="1">
        <f t="shared" ref="D7:I7" si="3">E6*1.2</f>
        <v>19.2</v>
      </c>
      <c r="F7" s="1">
        <f t="shared" si="3"/>
        <v>9.6</v>
      </c>
      <c r="G7" s="1">
        <f t="shared" si="3"/>
        <v>4.2</v>
      </c>
      <c r="H7" s="1">
        <f t="shared" si="3"/>
        <v>1.7999999999999998</v>
      </c>
      <c r="I7" s="1">
        <f t="shared" si="3"/>
        <v>0.84</v>
      </c>
      <c r="J7" s="1">
        <f>J6*1.2</f>
        <v>2.4E-2</v>
      </c>
    </row>
    <row r="8" spans="1:10" x14ac:dyDescent="0.3">
      <c r="A8" s="2"/>
      <c r="B8" s="1" t="s">
        <v>12</v>
      </c>
      <c r="C8" s="1">
        <f>100-SUM(D8:J8)</f>
        <v>26.391999999999996</v>
      </c>
      <c r="D8" s="1">
        <v>32</v>
      </c>
      <c r="E8" s="1">
        <f t="shared" ref="E8:I8" si="4">E6*1.4</f>
        <v>22.4</v>
      </c>
      <c r="F8" s="1">
        <f t="shared" si="4"/>
        <v>11.2</v>
      </c>
      <c r="G8" s="1">
        <f t="shared" si="4"/>
        <v>4.8999999999999995</v>
      </c>
      <c r="H8" s="1">
        <f t="shared" si="4"/>
        <v>2.0999999999999996</v>
      </c>
      <c r="I8" s="1">
        <f t="shared" si="4"/>
        <v>0.97999999999999987</v>
      </c>
      <c r="J8" s="1">
        <f>J6*1.4</f>
        <v>2.7999999999999997E-2</v>
      </c>
    </row>
    <row r="9" spans="1:10" x14ac:dyDescent="0.3">
      <c r="A9" s="2"/>
      <c r="B9" s="1" t="s">
        <v>13</v>
      </c>
      <c r="C9" s="1">
        <f>100-SUM(D9:J9)</f>
        <v>18.447999999999993</v>
      </c>
      <c r="D9" s="1">
        <v>34</v>
      </c>
      <c r="E9" s="1">
        <f t="shared" ref="E9:I9" si="5">E6*1.6</f>
        <v>25.6</v>
      </c>
      <c r="F9" s="1">
        <f t="shared" si="5"/>
        <v>12.8</v>
      </c>
      <c r="G9" s="1">
        <f t="shared" si="5"/>
        <v>5.6000000000000005</v>
      </c>
      <c r="H9" s="1">
        <f t="shared" si="5"/>
        <v>2.4000000000000004</v>
      </c>
      <c r="I9" s="1">
        <f t="shared" si="5"/>
        <v>1.1199999999999999</v>
      </c>
      <c r="J9" s="1">
        <f>J6*1.6</f>
        <v>3.2000000000000001E-2</v>
      </c>
    </row>
    <row r="10" spans="1:10" x14ac:dyDescent="0.3">
      <c r="A10" s="2" t="s">
        <v>5</v>
      </c>
      <c r="B10" s="1" t="s">
        <v>2</v>
      </c>
      <c r="C10" s="1">
        <f>100-SUM(D10:J10)</f>
        <v>22.049999999999997</v>
      </c>
      <c r="D10" s="1">
        <v>22</v>
      </c>
      <c r="E10" s="1">
        <v>28</v>
      </c>
      <c r="F10" s="1">
        <v>16</v>
      </c>
      <c r="G10" s="1">
        <v>7</v>
      </c>
      <c r="H10" s="1">
        <v>3</v>
      </c>
      <c r="I10" s="1">
        <v>1.9</v>
      </c>
      <c r="J10" s="1">
        <v>0.05</v>
      </c>
    </row>
    <row r="11" spans="1:10" x14ac:dyDescent="0.3">
      <c r="A11" s="2"/>
      <c r="B11" s="1" t="s">
        <v>11</v>
      </c>
      <c r="C11" s="1">
        <f t="shared" ref="C11:E26" si="6">100-SUM(D11:J11)</f>
        <v>18.459999999999994</v>
      </c>
      <c r="D11" s="1">
        <v>17</v>
      </c>
      <c r="E11" s="1">
        <v>31</v>
      </c>
      <c r="F11" s="1">
        <f t="shared" ref="E11:I11" si="7">F10*1.2</f>
        <v>19.2</v>
      </c>
      <c r="G11" s="1">
        <f t="shared" si="7"/>
        <v>8.4</v>
      </c>
      <c r="H11" s="1">
        <f t="shared" si="7"/>
        <v>3.5999999999999996</v>
      </c>
      <c r="I11" s="1">
        <f t="shared" si="7"/>
        <v>2.2799999999999998</v>
      </c>
      <c r="J11" s="1">
        <f>J10*1.2</f>
        <v>0.06</v>
      </c>
    </row>
    <row r="12" spans="1:10" x14ac:dyDescent="0.3">
      <c r="A12" s="2"/>
      <c r="B12" s="1" t="s">
        <v>12</v>
      </c>
      <c r="C12" s="1">
        <f t="shared" si="6"/>
        <v>13.870000000000005</v>
      </c>
      <c r="D12" s="1">
        <v>13</v>
      </c>
      <c r="E12" s="1">
        <v>34</v>
      </c>
      <c r="F12" s="1">
        <f t="shared" ref="F12:I12" si="8">F10*1.4</f>
        <v>22.4</v>
      </c>
      <c r="G12" s="1">
        <f t="shared" si="8"/>
        <v>9.7999999999999989</v>
      </c>
      <c r="H12" s="1">
        <f t="shared" si="8"/>
        <v>4.1999999999999993</v>
      </c>
      <c r="I12" s="1">
        <f t="shared" si="8"/>
        <v>2.6599999999999997</v>
      </c>
      <c r="J12" s="1">
        <f>J10*1.4</f>
        <v>6.9999999999999993E-2</v>
      </c>
    </row>
    <row r="13" spans="1:10" x14ac:dyDescent="0.3">
      <c r="A13" s="2"/>
      <c r="B13" s="1" t="s">
        <v>13</v>
      </c>
      <c r="C13" s="1">
        <f t="shared" si="6"/>
        <v>9.2800000000000011</v>
      </c>
      <c r="D13" s="1">
        <v>9</v>
      </c>
      <c r="E13" s="1">
        <v>37</v>
      </c>
      <c r="F13" s="1">
        <f t="shared" ref="F13:I13" si="9">F10*1.6</f>
        <v>25.6</v>
      </c>
      <c r="G13" s="1">
        <f t="shared" si="9"/>
        <v>11.200000000000001</v>
      </c>
      <c r="H13" s="1">
        <f t="shared" si="9"/>
        <v>4.8000000000000007</v>
      </c>
      <c r="I13" s="1">
        <f t="shared" si="9"/>
        <v>3.04</v>
      </c>
      <c r="J13" s="1">
        <f>J10*1.6</f>
        <v>8.0000000000000016E-2</v>
      </c>
    </row>
    <row r="14" spans="1:10" x14ac:dyDescent="0.3">
      <c r="A14" s="2" t="s">
        <v>6</v>
      </c>
      <c r="B14" s="1" t="s">
        <v>2</v>
      </c>
      <c r="C14" s="1">
        <f t="shared" si="6"/>
        <v>10</v>
      </c>
      <c r="D14" s="1">
        <v>12</v>
      </c>
      <c r="E14" s="1">
        <v>22</v>
      </c>
      <c r="F14" s="1">
        <v>30</v>
      </c>
      <c r="G14" s="1">
        <v>16</v>
      </c>
      <c r="H14" s="1">
        <v>7</v>
      </c>
      <c r="I14" s="1">
        <v>2.9</v>
      </c>
      <c r="J14" s="1">
        <v>0.1</v>
      </c>
    </row>
    <row r="15" spans="1:10" x14ac:dyDescent="0.3">
      <c r="A15" s="2"/>
      <c r="B15" s="1" t="s">
        <v>11</v>
      </c>
      <c r="C15" s="1">
        <f t="shared" si="6"/>
        <v>8.3999999999999915</v>
      </c>
      <c r="D15" s="1">
        <v>8</v>
      </c>
      <c r="E15" s="1">
        <v>23</v>
      </c>
      <c r="F15" s="1">
        <v>32</v>
      </c>
      <c r="G15" s="1">
        <v>17</v>
      </c>
      <c r="H15" s="1">
        <v>8</v>
      </c>
      <c r="I15" s="1">
        <f t="shared" ref="E15:I15" si="10">I14*1.2</f>
        <v>3.48</v>
      </c>
      <c r="J15" s="1">
        <f>J14*1.2</f>
        <v>0.12</v>
      </c>
    </row>
    <row r="16" spans="1:10" x14ac:dyDescent="0.3">
      <c r="A16" s="2"/>
      <c r="B16" s="1" t="s">
        <v>12</v>
      </c>
      <c r="C16" s="1">
        <f t="shared" si="6"/>
        <v>5.7999999999999972</v>
      </c>
      <c r="D16" s="1">
        <v>5</v>
      </c>
      <c r="E16" s="1">
        <v>24</v>
      </c>
      <c r="F16" s="1">
        <v>34</v>
      </c>
      <c r="G16" s="1">
        <v>18</v>
      </c>
      <c r="H16" s="1">
        <v>9</v>
      </c>
      <c r="I16" s="1">
        <f t="shared" ref="E16:I16" si="11">I14*1.4</f>
        <v>4.0599999999999996</v>
      </c>
      <c r="J16" s="1">
        <f>J14*1.4</f>
        <v>0.13999999999999999</v>
      </c>
    </row>
    <row r="17" spans="1:10" x14ac:dyDescent="0.3">
      <c r="A17" s="2"/>
      <c r="B17" s="1" t="s">
        <v>13</v>
      </c>
      <c r="C17" s="1">
        <f t="shared" si="6"/>
        <v>3.2000000000000028</v>
      </c>
      <c r="D17" s="1">
        <v>2</v>
      </c>
      <c r="E17" s="1">
        <v>25</v>
      </c>
      <c r="F17" s="1">
        <v>36</v>
      </c>
      <c r="G17" s="1">
        <v>19</v>
      </c>
      <c r="H17" s="1">
        <v>10</v>
      </c>
      <c r="I17" s="1">
        <f t="shared" ref="E17:I17" si="12">I14*1.6</f>
        <v>4.6399999999999997</v>
      </c>
      <c r="J17" s="1">
        <f>J14*1.6</f>
        <v>0.16000000000000003</v>
      </c>
    </row>
    <row r="18" spans="1:10" x14ac:dyDescent="0.3">
      <c r="A18" s="2" t="s">
        <v>7</v>
      </c>
      <c r="B18" s="1" t="s">
        <v>2</v>
      </c>
      <c r="C18" s="1">
        <f t="shared" si="6"/>
        <v>6.0999999999999943</v>
      </c>
      <c r="D18" s="1">
        <v>7</v>
      </c>
      <c r="E18" s="1">
        <v>12</v>
      </c>
      <c r="F18" s="1">
        <v>22</v>
      </c>
      <c r="G18" s="1">
        <v>30</v>
      </c>
      <c r="H18" s="1">
        <v>18</v>
      </c>
      <c r="I18" s="1">
        <v>4.7</v>
      </c>
      <c r="J18" s="1">
        <v>0.2</v>
      </c>
    </row>
    <row r="19" spans="1:10" x14ac:dyDescent="0.3">
      <c r="A19" s="2"/>
      <c r="B19" s="1" t="s">
        <v>11</v>
      </c>
      <c r="C19" s="1">
        <f t="shared" si="6"/>
        <v>5.6200000000000045</v>
      </c>
      <c r="D19" s="1">
        <v>6</v>
      </c>
      <c r="E19" s="1">
        <v>11.5</v>
      </c>
      <c r="F19" s="1">
        <v>20</v>
      </c>
      <c r="G19" s="1">
        <v>32</v>
      </c>
      <c r="H19" s="1">
        <v>19</v>
      </c>
      <c r="I19" s="1">
        <f t="shared" ref="G19:I19" si="13">I18*1.2</f>
        <v>5.64</v>
      </c>
      <c r="J19" s="1">
        <f>J18*1.2</f>
        <v>0.24</v>
      </c>
    </row>
    <row r="20" spans="1:10" x14ac:dyDescent="0.3">
      <c r="A20" s="2"/>
      <c r="B20" s="1" t="s">
        <v>12</v>
      </c>
      <c r="C20" s="1">
        <f t="shared" si="6"/>
        <v>5.1400000000000006</v>
      </c>
      <c r="D20" s="1">
        <v>5</v>
      </c>
      <c r="E20" s="1">
        <v>11</v>
      </c>
      <c r="F20" s="1">
        <v>18</v>
      </c>
      <c r="G20" s="1">
        <v>34</v>
      </c>
      <c r="H20" s="1">
        <v>20</v>
      </c>
      <c r="I20" s="1">
        <f t="shared" ref="G20:I20" si="14">I18*1.4</f>
        <v>6.58</v>
      </c>
      <c r="J20" s="1">
        <f>J18*1.4</f>
        <v>0.27999999999999997</v>
      </c>
    </row>
    <row r="21" spans="1:10" x14ac:dyDescent="0.3">
      <c r="A21" s="2"/>
      <c r="B21" s="1" t="s">
        <v>13</v>
      </c>
      <c r="C21" s="1">
        <f t="shared" si="6"/>
        <v>4.6600000000000108</v>
      </c>
      <c r="D21" s="1">
        <v>4</v>
      </c>
      <c r="E21" s="1">
        <v>10.5</v>
      </c>
      <c r="F21" s="1">
        <v>16</v>
      </c>
      <c r="G21" s="1">
        <v>36</v>
      </c>
      <c r="H21" s="1">
        <v>21</v>
      </c>
      <c r="I21" s="1">
        <f t="shared" ref="G21:I21" si="15">I18*1.6</f>
        <v>7.5200000000000005</v>
      </c>
      <c r="J21" s="1">
        <f>J18*1.6</f>
        <v>0.32000000000000006</v>
      </c>
    </row>
    <row r="22" spans="1:10" x14ac:dyDescent="0.3">
      <c r="A22" s="2" t="s">
        <v>8</v>
      </c>
      <c r="B22" s="1" t="s">
        <v>2</v>
      </c>
      <c r="C22" s="1">
        <f t="shared" si="6"/>
        <v>1</v>
      </c>
      <c r="D22" s="1">
        <v>1.5</v>
      </c>
      <c r="E22" s="1">
        <v>9</v>
      </c>
      <c r="F22" s="1">
        <v>15</v>
      </c>
      <c r="G22" s="1">
        <v>25.1</v>
      </c>
      <c r="H22" s="1">
        <v>32.4</v>
      </c>
      <c r="I22" s="1">
        <v>15</v>
      </c>
      <c r="J22" s="1">
        <v>1</v>
      </c>
    </row>
    <row r="23" spans="1:10" x14ac:dyDescent="0.3">
      <c r="A23" s="2"/>
      <c r="B23" s="1" t="s">
        <v>11</v>
      </c>
      <c r="C23" s="1">
        <f t="shared" si="6"/>
        <v>0</v>
      </c>
      <c r="D23" s="1">
        <v>0</v>
      </c>
      <c r="E23" s="1">
        <v>8</v>
      </c>
      <c r="F23" s="1">
        <v>15</v>
      </c>
      <c r="G23" s="1">
        <v>25.6</v>
      </c>
      <c r="H23" s="1">
        <v>34.200000000000003</v>
      </c>
      <c r="I23" s="1">
        <v>16</v>
      </c>
      <c r="J23" s="1">
        <f>J22*1.2</f>
        <v>1.2</v>
      </c>
    </row>
    <row r="24" spans="1:10" x14ac:dyDescent="0.3">
      <c r="A24" s="2"/>
      <c r="B24" s="1" t="s">
        <v>12</v>
      </c>
      <c r="C24" s="1">
        <f t="shared" si="6"/>
        <v>0</v>
      </c>
      <c r="D24" s="1">
        <v>0</v>
      </c>
      <c r="E24" s="1">
        <f t="shared" si="6"/>
        <v>6.0999999999999943</v>
      </c>
      <c r="F24" s="1">
        <v>13.5</v>
      </c>
      <c r="G24" s="1">
        <v>26</v>
      </c>
      <c r="H24" s="1">
        <v>36</v>
      </c>
      <c r="I24" s="1">
        <v>17</v>
      </c>
      <c r="J24" s="1">
        <f>J22*1.4</f>
        <v>1.4</v>
      </c>
    </row>
    <row r="25" spans="1:10" x14ac:dyDescent="0.3">
      <c r="A25" s="2"/>
      <c r="B25" s="1" t="s">
        <v>13</v>
      </c>
      <c r="C25" s="1">
        <f t="shared" si="6"/>
        <v>0</v>
      </c>
      <c r="D25" s="1">
        <v>0</v>
      </c>
      <c r="E25" s="1">
        <f t="shared" si="6"/>
        <v>2.9000000000000057</v>
      </c>
      <c r="F25" s="1">
        <v>13</v>
      </c>
      <c r="G25" s="1">
        <v>26.5</v>
      </c>
      <c r="H25" s="1">
        <v>38</v>
      </c>
      <c r="I25" s="1">
        <v>18</v>
      </c>
      <c r="J25" s="1">
        <f>J22*1.6</f>
        <v>1.6</v>
      </c>
    </row>
    <row r="26" spans="1:10" x14ac:dyDescent="0.3">
      <c r="A26" s="2" t="s">
        <v>9</v>
      </c>
      <c r="B26" s="1" t="s">
        <v>2</v>
      </c>
      <c r="C26" s="1">
        <f t="shared" si="6"/>
        <v>0</v>
      </c>
      <c r="D26" s="1">
        <f t="shared" ref="D26" si="16">100-SUM(E26:K26)</f>
        <v>0</v>
      </c>
      <c r="E26" s="1">
        <v>1</v>
      </c>
      <c r="F26" s="1">
        <v>10</v>
      </c>
      <c r="G26" s="1">
        <v>16</v>
      </c>
      <c r="H26" s="1">
        <v>28</v>
      </c>
      <c r="I26" s="1">
        <v>41</v>
      </c>
      <c r="J26" s="1">
        <v>4</v>
      </c>
    </row>
    <row r="27" spans="1:10" x14ac:dyDescent="0.3">
      <c r="A27" s="2"/>
      <c r="B27" s="1" t="s">
        <v>11</v>
      </c>
      <c r="C27" s="1">
        <f t="shared" ref="C27:C33" si="17">100-SUM(D27:J27)</f>
        <v>0</v>
      </c>
      <c r="D27" s="1">
        <f t="shared" ref="D27:D33" si="18">100-SUM(E27:K27)</f>
        <v>0</v>
      </c>
      <c r="E27" s="1">
        <f t="shared" ref="E27:E33" si="19">100-SUM(F27:L27)</f>
        <v>0</v>
      </c>
      <c r="F27" s="1">
        <f t="shared" ref="F27:F33" si="20">100-SUM(G27:M27)</f>
        <v>8.2000000000000028</v>
      </c>
      <c r="G27" s="1">
        <v>14</v>
      </c>
      <c r="H27" s="1">
        <v>29</v>
      </c>
      <c r="I27" s="1">
        <v>44</v>
      </c>
      <c r="J27" s="1">
        <f>J26*1.2</f>
        <v>4.8</v>
      </c>
    </row>
    <row r="28" spans="1:10" x14ac:dyDescent="0.3">
      <c r="A28" s="2"/>
      <c r="B28" s="1" t="s">
        <v>12</v>
      </c>
      <c r="C28" s="1">
        <f t="shared" si="17"/>
        <v>0</v>
      </c>
      <c r="D28" s="1">
        <f t="shared" si="18"/>
        <v>0</v>
      </c>
      <c r="E28" s="1">
        <f t="shared" si="19"/>
        <v>0</v>
      </c>
      <c r="F28" s="1">
        <f t="shared" si="20"/>
        <v>5.4000000000000057</v>
      </c>
      <c r="G28" s="1">
        <v>12</v>
      </c>
      <c r="H28" s="1">
        <v>30</v>
      </c>
      <c r="I28" s="1">
        <v>47</v>
      </c>
      <c r="J28" s="1">
        <f>J26*1.4</f>
        <v>5.6</v>
      </c>
    </row>
    <row r="29" spans="1:10" x14ac:dyDescent="0.3">
      <c r="A29" s="2"/>
      <c r="B29" s="1" t="s">
        <v>13</v>
      </c>
      <c r="C29" s="1">
        <f t="shared" si="17"/>
        <v>0</v>
      </c>
      <c r="D29" s="1">
        <f t="shared" si="18"/>
        <v>0</v>
      </c>
      <c r="E29" s="1">
        <f t="shared" si="19"/>
        <v>0</v>
      </c>
      <c r="F29" s="1">
        <f t="shared" si="20"/>
        <v>2.5999999999999943</v>
      </c>
      <c r="G29" s="1">
        <v>10</v>
      </c>
      <c r="H29" s="1">
        <v>31</v>
      </c>
      <c r="I29" s="1">
        <v>50</v>
      </c>
      <c r="J29" s="1">
        <f>J26*1.6</f>
        <v>6.4</v>
      </c>
    </row>
    <row r="30" spans="1:10" x14ac:dyDescent="0.3">
      <c r="A30" s="2" t="s">
        <v>10</v>
      </c>
      <c r="B30" s="1" t="s">
        <v>2</v>
      </c>
      <c r="C30" s="1">
        <f t="shared" si="17"/>
        <v>0</v>
      </c>
      <c r="D30" s="1">
        <f t="shared" si="18"/>
        <v>0</v>
      </c>
      <c r="E30" s="1">
        <f t="shared" si="19"/>
        <v>0</v>
      </c>
      <c r="F30" s="1">
        <v>1</v>
      </c>
      <c r="G30" s="1">
        <v>9.8000000000000007</v>
      </c>
      <c r="H30" s="1">
        <v>25</v>
      </c>
      <c r="I30" s="1">
        <v>54.2</v>
      </c>
      <c r="J30" s="1">
        <v>10</v>
      </c>
    </row>
    <row r="31" spans="1:10" x14ac:dyDescent="0.3">
      <c r="A31" s="2"/>
      <c r="B31" s="1" t="s">
        <v>11</v>
      </c>
      <c r="C31" s="1">
        <f t="shared" si="17"/>
        <v>0</v>
      </c>
      <c r="D31" s="1">
        <f t="shared" si="18"/>
        <v>0</v>
      </c>
      <c r="E31" s="1">
        <f t="shared" si="19"/>
        <v>0</v>
      </c>
      <c r="F31" s="1">
        <f t="shared" si="20"/>
        <v>0</v>
      </c>
      <c r="G31" s="1">
        <f t="shared" ref="G30:G33" si="21">100-SUM(H31:N31)</f>
        <v>7.5</v>
      </c>
      <c r="H31" s="1">
        <v>23.5</v>
      </c>
      <c r="I31" s="1">
        <v>57</v>
      </c>
      <c r="J31" s="1">
        <v>12</v>
      </c>
    </row>
    <row r="32" spans="1:10" x14ac:dyDescent="0.3">
      <c r="A32" s="2"/>
      <c r="B32" s="1" t="s">
        <v>12</v>
      </c>
      <c r="C32" s="1">
        <f t="shared" si="17"/>
        <v>0</v>
      </c>
      <c r="D32" s="1">
        <f t="shared" si="18"/>
        <v>0</v>
      </c>
      <c r="E32" s="1">
        <f t="shared" si="19"/>
        <v>0</v>
      </c>
      <c r="F32" s="1">
        <f t="shared" si="20"/>
        <v>0</v>
      </c>
      <c r="G32" s="1">
        <f t="shared" si="21"/>
        <v>4</v>
      </c>
      <c r="H32" s="1">
        <v>22</v>
      </c>
      <c r="I32" s="1">
        <v>60</v>
      </c>
      <c r="J32" s="1">
        <v>14</v>
      </c>
    </row>
    <row r="33" spans="1:10" x14ac:dyDescent="0.3">
      <c r="A33" s="2"/>
      <c r="B33" s="1" t="s">
        <v>13</v>
      </c>
      <c r="C33" s="1">
        <f t="shared" si="17"/>
        <v>0</v>
      </c>
      <c r="D33" s="1">
        <f t="shared" si="18"/>
        <v>0</v>
      </c>
      <c r="E33" s="1">
        <f t="shared" si="19"/>
        <v>0</v>
      </c>
      <c r="F33" s="1">
        <f t="shared" si="20"/>
        <v>0</v>
      </c>
      <c r="G33" s="1">
        <f t="shared" si="21"/>
        <v>0.5</v>
      </c>
      <c r="H33" s="1">
        <v>20.5</v>
      </c>
      <c r="I33" s="1">
        <v>63</v>
      </c>
      <c r="J33" s="1">
        <v>16</v>
      </c>
    </row>
  </sheetData>
  <mergeCells count="8">
    <mergeCell ref="A26:A29"/>
    <mergeCell ref="A30:A33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Hamad</dc:creator>
  <cp:lastModifiedBy>Abbas Hamad</cp:lastModifiedBy>
  <dcterms:created xsi:type="dcterms:W3CDTF">2026-05-30T18:48:41Z</dcterms:created>
  <dcterms:modified xsi:type="dcterms:W3CDTF">2026-05-30T21:48:21Z</dcterms:modified>
</cp:coreProperties>
</file>